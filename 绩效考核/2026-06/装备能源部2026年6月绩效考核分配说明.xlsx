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附件1" sheetId="1" r:id="rId1"/>
    <sheet name="分解" sheetId="2" r:id="rId2"/>
  </sheets>
  <definedNames>
    <definedName name="_xlnm.Print_Area" localSheetId="0">附件1!$A$1:$E$11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<sst xmlns="http://schemas.openxmlformats.org/spreadsheetml/2006/main" count="78" uniqueCount="37">
  <si>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装备能源部2026年6月绩效考核分配说明</t>
  </si>
  <si>
    <t>日期：2026年7月20日</t>
  </si>
  <si>
    <t>序号</t>
  </si>
  <si>
    <t>考核项</t>
  </si>
  <si>
    <t>考核内容及金额</t>
  </si>
  <si>
    <t>分配说明</t>
  </si>
  <si>
    <t>备注</t>
  </si>
  <si>
    <t>产量考核</t>
  </si>
  <si>
    <t>乔玉媛-49美元、陈小林-78美元、李继强-78美元、刘彩霞-72美元、刘珊君-72美元、黄玉勇-65美元、史俊山-55美元、任君辉-49美元、仲金芝-49美元、雷扬-63美元</t>
  </si>
  <si>
    <t>成本费用考核</t>
  </si>
  <si>
    <t>马军15美元、翟清羽10美元、乔玉媛18美元、陈小林28美元、李继强28美元、刘彩霞26美元、刘珊君26美元、黄玉勇24美元、史俊山20美元、任君辉18美元、仲金芝18美元、雷扬24美元</t>
  </si>
  <si>
    <t>（喷燃煤196美元+还原剂59美元）</t>
  </si>
  <si>
    <t>专项考核</t>
  </si>
  <si>
    <t>马军-12美元、翟清羽-10美元、乔玉媛-6美元、陈小林-9美元、李继强-9美元、刘彩霞-9美元、刘珊君-14美元、黄玉勇-8美元、史俊山-6美元、任君辉-6美元、仲金芝-6美元、雷扬-10美元</t>
  </si>
  <si>
    <t>（立式磨磨辊故障-100美元+刘珊君-5美元）</t>
  </si>
  <si>
    <t>其他</t>
  </si>
  <si>
    <t>主管领导：</t>
  </si>
  <si>
    <t>部门负责人：</t>
  </si>
  <si>
    <t>制表人：</t>
  </si>
  <si>
    <t>人名</t>
  </si>
  <si>
    <t>个人合计</t>
  </si>
  <si>
    <t>乔玉媛</t>
  </si>
  <si>
    <t>马军（部门正职）</t>
  </si>
  <si>
    <t>陈小林</t>
  </si>
  <si>
    <t>翟清羽（部门副职）</t>
  </si>
  <si>
    <t>李继强</t>
  </si>
  <si>
    <t>刘彩霞</t>
  </si>
  <si>
    <t>刘珊君</t>
  </si>
  <si>
    <t>黄玉勇</t>
  </si>
  <si>
    <t>史俊山</t>
  </si>
  <si>
    <t>任君辉</t>
  </si>
  <si>
    <t>仲金芝</t>
  </si>
  <si>
    <t>雷扬</t>
  </si>
  <si>
    <t>合计</t>
  </si>
  <si>
    <t>成本费用考核（喷燃煤196+还原剂59）</t>
  </si>
  <si>
    <t>专项考核（立式磨磨辊故障-100+刘珊君-5）</t>
  </si>
  <si>
    <t>刘珊君（直接考核开口机钻头）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</si>
</sst>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18"/>
      <color theme="1"/>
      <name val="宋体"/>
      <charset val="134"/>
    </font>
    <font>
      <sz val="11"/>
      <color theme="1"/>
      <name val="宋体"/>
      <charset val="134"/>
    </font>
    <font>
      <b/>
      <sz val="18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7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 applyAlignment="1">
      <alignment horizontal="left" vertical="center"/>
    </xf>
    <xf numFmtId="0" fontId="0" fillId="0" borderId="1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5" workbookViewId="0">
      <selection activeCell="A1" sqref="A1:E11"/>
    </sheetView>
  </sheetViews>
  <sheetFormatPr defaultColWidth="9" defaultRowHeight="13.5" outlineLevelCol="4"/>
  <cols>
    <col min="1" max="1" width="9" style="5" customWidth="1"/>
    <col min="2" max="2" width="19.875" style="5" customWidth="1"/>
    <col min="3" max="3" width="16.25" style="5" customWidth="1"/>
    <col min="4" max="4" width="28.375" style="5" customWidth="1"/>
    <col min="5" max="5" width="12.125" style="5" customWidth="1"/>
    <col min="6" max="16384" width="9" style="5" customWidth="1"/>
  </cols>
  <sheetData>
    <row r="1" s="3" customFormat="1" ht="42.75" customHeight="1" spans="1:5">
      <c r="A1" s="6" t="s">
        <v>0</v>
      </c>
    </row>
    <row r="2" s="3" customFormat="1" ht="24" customHeight="1" spans="1:5">
      <c r="A2" s="7"/>
      <c r="C2" s="8"/>
      <c r="D2" s="9" t="s">
        <v>1</v>
      </c>
    </row>
    <row r="3" s="4" customFormat="1" ht="51.75" customHeight="1" spans="1: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</row>
    <row r="4" s="4" customFormat="1" ht="108" customHeight="1" spans="1:5">
      <c r="A4" s="11">
        <v>1</v>
      </c>
      <c r="B4" s="11" t="s">
        <v>7</v>
      </c>
      <c r="C4" s="11">
        <v>-630</v>
      </c>
      <c r="D4" s="12" t="s">
        <v>8</v>
      </c>
      <c r="E4" s="12"/>
    </row>
    <row r="5" s="4" customFormat="1" ht="99" customHeight="1" spans="1:5">
      <c r="A5" s="11">
        <v>2</v>
      </c>
      <c r="B5" s="11" t="s">
        <v>9</v>
      </c>
      <c r="C5" s="11">
        <v>255</v>
      </c>
      <c r="D5" s="12" t="s">
        <v>10</v>
      </c>
      <c r="E5" s="13" t="s">
        <v>11</v>
      </c>
    </row>
    <row r="6" s="4" customFormat="1" ht="114" customHeight="1" spans="1:5">
      <c r="A6" s="11">
        <v>3</v>
      </c>
      <c r="B6" s="11" t="s">
        <v>12</v>
      </c>
      <c r="C6" s="11">
        <v>-105</v>
      </c>
      <c r="D6" s="12" t="s">
        <v>13</v>
      </c>
      <c r="E6" s="13" t="s">
        <v>14</v>
      </c>
    </row>
    <row r="7" s="4" customFormat="1" ht="47.25" customHeight="1" spans="1:5">
      <c r="A7" s="11">
        <v>4</v>
      </c>
      <c r="B7" s="11" t="s">
        <v>15</v>
      </c>
      <c r="C7" s="11"/>
      <c r="D7" s="11"/>
      <c r="E7" s="11"/>
    </row>
    <row r="8" s="4" customFormat="1" ht="47.25" customHeight="1" spans="1:5">
      <c r="A8" s="11">
        <v>5</v>
      </c>
      <c r="B8" s="11"/>
      <c r="C8" s="11"/>
      <c r="D8" s="11"/>
      <c r="E8" s="11"/>
    </row>
    <row r="9" s="4" customFormat="1" ht="47.25" customHeight="1" spans="1:5">
      <c r="A9" s="11">
        <v>6</v>
      </c>
      <c r="B9" s="11"/>
      <c r="C9" s="11"/>
      <c r="D9" s="11"/>
      <c r="E9" s="11"/>
    </row>
    <row r="10" s="4" customFormat="1" ht="47.25" customHeight="1" spans="1:5">
      <c r="A10" s="11">
        <v>7</v>
      </c>
      <c r="B10" s="11"/>
      <c r="C10" s="11"/>
      <c r="D10" s="11"/>
      <c r="E10" s="11"/>
    </row>
    <row r="11" s="4" customFormat="1" ht="47.25" customHeight="1" spans="1:5">
      <c r="A11" s="14" t="s">
        <v>16</v>
      </c>
      <c r="B11" s="15"/>
      <c r="C11" s="4" t="s">
        <v>17</v>
      </c>
      <c r="E11" s="16" t="s">
        <v>18</v>
      </c>
    </row>
  </sheetData>
  <mergeCells count="5">
    <mergeCell ref="A1:E1"/>
    <mergeCell ref="A2:B2"/>
    <mergeCell ref="D2:E2"/>
    <mergeCell ref="A11:B11"/>
    <mergeCell ref="C11:D11"/>
  </mergeCells>
  <printOptions horizontalCentered="1"/>
  <pageMargins left="0.275" right="0.236111111111111" top="0.393055555555556" bottom="0.393055555555556" header="0.314583333333333" footer="0.31458333333333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47"/>
  <sheetViews>
    <sheetView topLeftCell="A4" workbookViewId="0">
      <selection activeCell="G19" sqref="G19"/>
    </sheetView>
  </sheetViews>
  <sheetFormatPr defaultColWidth="8.89166666666667" defaultRowHeight="14.25"/>
  <cols>
    <col min="1" max="1" width="19" customWidth="1"/>
    <col min="2" max="2" width="39.125" customWidth="1"/>
    <col min="9" max="9" width="20.5" customWidth="1"/>
  </cols>
  <sheetData>
    <row r="4" spans="1:10">
      <c r="A4" s="1" t="s">
        <v>7</v>
      </c>
      <c r="B4" s="17" t="s">
        <v>7</v>
      </c>
      <c r="C4" s="1">
        <v>-630</v>
      </c>
      <c r="D4" s="1"/>
      <c r="E4" s="1"/>
      <c r="F4" s="1"/>
      <c r="I4" s="1" t="s">
        <v>19</v>
      </c>
      <c r="J4" s="1" t="s">
        <v>20</v>
      </c>
    </row>
    <row r="5" spans="1:10">
      <c r="A5" s="1"/>
      <c r="B5" s="1" t="s">
        <v>21</v>
      </c>
      <c r="C5" s="1">
        <v>0.077</v>
      </c>
      <c r="D5" s="1">
        <f t="shared" ref="D5:D14" si="0">C5*E5</f>
        <v>-48.51</v>
      </c>
      <c r="E5" s="1">
        <v>-630</v>
      </c>
      <c r="F5" s="1">
        <v>-49</v>
      </c>
      <c r="I5" s="1" t="s">
        <v>22</v>
      </c>
      <c r="J5" s="1">
        <f>F19+F34</f>
        <v>3</v>
      </c>
    </row>
    <row r="6" spans="1:10">
      <c r="A6" s="1"/>
      <c r="B6" s="1" t="s">
        <v>23</v>
      </c>
      <c r="C6" s="1">
        <v>0.123</v>
      </c>
      <c r="D6" s="1">
        <f t="shared" si="0"/>
        <v>-77.49</v>
      </c>
      <c r="E6" s="1">
        <v>-630</v>
      </c>
      <c r="F6" s="1">
        <v>-78</v>
      </c>
      <c r="I6" s="1" t="s">
        <v>24</v>
      </c>
      <c r="J6" s="1">
        <f>F20+F35</f>
        <v>0</v>
      </c>
    </row>
    <row r="7" spans="1:10">
      <c r="A7" s="1"/>
      <c r="B7" s="1" t="s">
        <v>25</v>
      </c>
      <c r="C7" s="1">
        <v>0.123</v>
      </c>
      <c r="D7" s="1">
        <f t="shared" si="0"/>
        <v>-77.49</v>
      </c>
      <c r="E7" s="1">
        <v>-630</v>
      </c>
      <c r="F7" s="1">
        <v>-78</v>
      </c>
      <c r="I7" s="1" t="s">
        <v>21</v>
      </c>
      <c r="J7" s="1">
        <f>F5+F21+F36</f>
        <v>-37</v>
      </c>
    </row>
    <row r="8" spans="1:10">
      <c r="A8" s="1"/>
      <c r="B8" s="1" t="s">
        <v>26</v>
      </c>
      <c r="C8" s="1">
        <v>0.115</v>
      </c>
      <c r="D8" s="1">
        <f t="shared" si="0"/>
        <v>-72.45</v>
      </c>
      <c r="E8" s="1">
        <v>-630</v>
      </c>
      <c r="F8" s="1">
        <v>-72</v>
      </c>
      <c r="I8" s="1" t="s">
        <v>23</v>
      </c>
      <c r="J8" s="1">
        <f>F6+F22+F37</f>
        <v>-59</v>
      </c>
    </row>
    <row r="9" spans="1:10">
      <c r="A9" s="1"/>
      <c r="B9" s="1" t="s">
        <v>27</v>
      </c>
      <c r="C9" s="1">
        <v>0.115</v>
      </c>
      <c r="D9" s="1">
        <f t="shared" si="0"/>
        <v>-72.45</v>
      </c>
      <c r="E9" s="1">
        <v>-630</v>
      </c>
      <c r="F9" s="1">
        <v>-72</v>
      </c>
      <c r="I9" s="1" t="s">
        <v>25</v>
      </c>
      <c r="J9" s="1">
        <f>F7+F23+F38</f>
        <v>-59</v>
      </c>
    </row>
    <row r="10" spans="1:10">
      <c r="A10" s="1"/>
      <c r="B10" s="1" t="s">
        <v>28</v>
      </c>
      <c r="C10" s="2">
        <v>0.104</v>
      </c>
      <c r="D10" s="1">
        <f t="shared" si="0"/>
        <v>-65.52</v>
      </c>
      <c r="E10" s="1">
        <v>-630</v>
      </c>
      <c r="F10" s="1">
        <v>-65</v>
      </c>
      <c r="I10" s="1" t="s">
        <v>26</v>
      </c>
      <c r="J10" s="1">
        <f>F8+F24+F39</f>
        <v>-55</v>
      </c>
    </row>
    <row r="11" spans="1:10">
      <c r="A11" s="1"/>
      <c r="B11" s="1" t="s">
        <v>29</v>
      </c>
      <c r="C11" s="1">
        <v>0.085</v>
      </c>
      <c r="D11" s="1">
        <f t="shared" si="0"/>
        <v>-53.55</v>
      </c>
      <c r="E11" s="1">
        <v>-630</v>
      </c>
      <c r="F11" s="1">
        <v>-55</v>
      </c>
      <c r="I11" s="1" t="s">
        <v>27</v>
      </c>
      <c r="J11" s="1">
        <f>F9+F25+F40+F46</f>
        <v>-60</v>
      </c>
    </row>
    <row r="12" spans="1:10">
      <c r="A12" s="1"/>
      <c r="B12" s="1" t="s">
        <v>30</v>
      </c>
      <c r="C12" s="1">
        <v>0.077</v>
      </c>
      <c r="D12" s="1">
        <f t="shared" si="0"/>
        <v>-48.51</v>
      </c>
      <c r="E12" s="1">
        <v>-630</v>
      </c>
      <c r="F12" s="1">
        <v>-49</v>
      </c>
      <c r="I12" s="1" t="s">
        <v>28</v>
      </c>
      <c r="J12" s="1">
        <f>F10+F26+F41</f>
        <v>-49</v>
      </c>
    </row>
    <row r="13" spans="1:10">
      <c r="A13" s="1"/>
      <c r="B13" s="1" t="s">
        <v>31</v>
      </c>
      <c r="C13" s="1">
        <v>0.077</v>
      </c>
      <c r="D13" s="1">
        <f t="shared" si="0"/>
        <v>-48.51</v>
      </c>
      <c r="E13" s="1">
        <v>-630</v>
      </c>
      <c r="F13" s="1">
        <v>-49</v>
      </c>
      <c r="I13" s="1" t="s">
        <v>29</v>
      </c>
      <c r="J13" s="1">
        <f>F11+F27+F42</f>
        <v>-41</v>
      </c>
    </row>
    <row r="14" spans="1:10">
      <c r="A14" s="1"/>
      <c r="B14" s="1" t="s">
        <v>32</v>
      </c>
      <c r="C14" s="1">
        <v>0.104</v>
      </c>
      <c r="D14" s="1">
        <f t="shared" si="0"/>
        <v>-65.52</v>
      </c>
      <c r="E14" s="1">
        <v>-630</v>
      </c>
      <c r="F14" s="1">
        <v>-63</v>
      </c>
      <c r="I14" s="1" t="s">
        <v>30</v>
      </c>
      <c r="J14" s="1">
        <f>F12+F28+F43</f>
        <v>-37</v>
      </c>
    </row>
    <row r="15" spans="1:10">
      <c r="A15" s="1" t="s">
        <v>33</v>
      </c>
      <c r="B15" s="1"/>
      <c r="C15" s="1">
        <f>SUM(C5:C14)</f>
        <v>1</v>
      </c>
      <c r="D15" s="1">
        <f>SUM(D5:D14)</f>
        <v>-630</v>
      </c>
      <c r="E15" s="1"/>
      <c r="F15" s="1">
        <f>SUM(F5:F14)</f>
        <v>-630</v>
      </c>
      <c r="I15" s="1" t="s">
        <v>31</v>
      </c>
      <c r="J15" s="1">
        <f>F13+F29+F44</f>
        <v>-37</v>
      </c>
    </row>
    <row r="16" spans="1:10">
      <c r="I16" s="1" t="s">
        <v>32</v>
      </c>
      <c r="J16" s="1">
        <f>F14+F30+F45</f>
        <v>-49</v>
      </c>
    </row>
    <row r="17" spans="1:10">
      <c r="I17" s="1" t="s">
        <v>33</v>
      </c>
      <c r="J17" s="1">
        <f>SUM(J5:J16)</f>
        <v>-480</v>
      </c>
    </row>
    <row r="18" spans="1:10">
      <c r="A18" s="1" t="s">
        <v>9</v>
      </c>
      <c r="B18" s="1" t="s">
        <v>34</v>
      </c>
      <c r="C18" s="1">
        <v>255</v>
      </c>
      <c r="D18" s="1"/>
      <c r="E18" s="1"/>
      <c r="F18" s="1"/>
    </row>
    <row r="19" spans="1:10">
      <c r="A19" s="1"/>
      <c r="B19" s="1" t="s">
        <v>22</v>
      </c>
      <c r="C19" s="1">
        <v>0.077</v>
      </c>
      <c r="D19" s="1">
        <v>20.4</v>
      </c>
      <c r="E19" s="1">
        <v>255</v>
      </c>
      <c r="F19" s="1">
        <v>15</v>
      </c>
    </row>
    <row r="20" spans="1:10">
      <c r="A20" s="1"/>
      <c r="B20" s="1" t="s">
        <v>24</v>
      </c>
      <c r="C20" s="1">
        <v>0.123</v>
      </c>
      <c r="D20" s="1">
        <v>30.6</v>
      </c>
      <c r="E20" s="1">
        <v>255</v>
      </c>
      <c r="F20" s="1">
        <v>10</v>
      </c>
    </row>
    <row r="21" spans="1:10">
      <c r="A21" s="1"/>
      <c r="B21" s="1" t="s">
        <v>21</v>
      </c>
      <c r="C21" s="1">
        <v>0.077</v>
      </c>
      <c r="D21" s="1">
        <v>30.6</v>
      </c>
      <c r="E21" s="1">
        <v>255</v>
      </c>
      <c r="F21" s="1">
        <v>18</v>
      </c>
    </row>
    <row r="22" spans="1:10">
      <c r="A22" s="1"/>
      <c r="B22" s="1" t="s">
        <v>23</v>
      </c>
      <c r="C22" s="1">
        <v>0.123</v>
      </c>
      <c r="D22" s="1">
        <v>30.6</v>
      </c>
      <c r="E22" s="1">
        <v>255</v>
      </c>
      <c r="F22" s="1">
        <v>28</v>
      </c>
    </row>
    <row r="23" spans="1:10">
      <c r="A23" s="1"/>
      <c r="B23" s="1" t="s">
        <v>25</v>
      </c>
      <c r="C23" s="1">
        <v>0.123</v>
      </c>
      <c r="D23" s="1">
        <v>30.6</v>
      </c>
      <c r="E23" s="1">
        <v>255</v>
      </c>
      <c r="F23" s="1">
        <v>28</v>
      </c>
    </row>
    <row r="24" spans="1:10">
      <c r="A24" s="1"/>
      <c r="B24" s="1" t="s">
        <v>26</v>
      </c>
      <c r="C24" s="2">
        <v>0.115</v>
      </c>
      <c r="D24" s="1">
        <v>25.5</v>
      </c>
      <c r="E24" s="1">
        <v>255</v>
      </c>
      <c r="F24" s="1">
        <v>26</v>
      </c>
    </row>
    <row r="25" spans="1:10">
      <c r="A25" s="1"/>
      <c r="B25" s="1" t="s">
        <v>27</v>
      </c>
      <c r="C25" s="1">
        <v>0.115</v>
      </c>
      <c r="D25" s="1">
        <v>25.5</v>
      </c>
      <c r="E25" s="1">
        <v>255</v>
      </c>
      <c r="F25" s="1">
        <v>26</v>
      </c>
    </row>
    <row r="26" spans="1:10">
      <c r="A26" s="1"/>
      <c r="B26" s="1" t="s">
        <v>28</v>
      </c>
      <c r="C26" s="1">
        <v>0.104</v>
      </c>
      <c r="D26" s="1">
        <v>20.4</v>
      </c>
      <c r="E26" s="1">
        <v>255</v>
      </c>
      <c r="F26" s="1">
        <v>24</v>
      </c>
    </row>
    <row r="27" spans="1:10">
      <c r="A27" s="1"/>
      <c r="B27" s="1" t="s">
        <v>29</v>
      </c>
      <c r="C27" s="1">
        <v>0.085</v>
      </c>
      <c r="D27" s="1">
        <v>20.4</v>
      </c>
      <c r="E27" s="1">
        <v>255</v>
      </c>
      <c r="F27" s="1">
        <v>20</v>
      </c>
    </row>
    <row r="28" spans="1:10">
      <c r="A28" s="1"/>
      <c r="B28" s="1" t="s">
        <v>30</v>
      </c>
      <c r="C28" s="1">
        <v>0.077</v>
      </c>
      <c r="D28" s="1">
        <v>25.5</v>
      </c>
      <c r="E28" s="1">
        <v>255</v>
      </c>
      <c r="F28" s="1">
        <v>18</v>
      </c>
    </row>
    <row r="29" spans="1:10">
      <c r="A29" s="1"/>
      <c r="B29" s="1" t="s">
        <v>31</v>
      </c>
      <c r="C29" s="1">
        <v>0.077</v>
      </c>
      <c r="D29" s="1">
        <v>260.1</v>
      </c>
      <c r="E29" s="1">
        <v>255</v>
      </c>
      <c r="F29" s="1">
        <v>18</v>
      </c>
    </row>
    <row r="30" spans="1:10">
      <c r="A30" s="1"/>
      <c r="B30" s="1" t="s">
        <v>32</v>
      </c>
      <c r="C30" s="1">
        <v>0.104</v>
      </c>
      <c r="D30" s="1"/>
      <c r="E30" s="1">
        <v>255</v>
      </c>
      <c r="F30" s="1">
        <v>24</v>
      </c>
    </row>
    <row r="31" spans="1:10">
      <c r="A31" s="1" t="s">
        <v>33</v>
      </c>
      <c r="B31" s="1"/>
      <c r="C31" s="1"/>
      <c r="D31" s="1"/>
      <c r="E31" s="1"/>
      <c r="F31" s="1">
        <f>SUM(F19:F30)</f>
        <v>255</v>
      </c>
    </row>
    <row r="33" spans="1:6">
      <c r="A33" s="1" t="s">
        <v>12</v>
      </c>
      <c r="B33" s="1" t="s">
        <v>35</v>
      </c>
      <c r="C33" s="1">
        <v>-105</v>
      </c>
      <c r="D33" s="1"/>
      <c r="E33" s="1"/>
      <c r="F33" s="1"/>
    </row>
    <row r="34" spans="1:6">
      <c r="A34" s="1"/>
      <c r="B34" s="1" t="s">
        <v>22</v>
      </c>
      <c r="C34" s="1">
        <v>0.123</v>
      </c>
      <c r="D34" s="1">
        <f t="shared" ref="D34:D45" si="1">E34*C34</f>
        <v>-12.3</v>
      </c>
      <c r="E34" s="1">
        <v>-100</v>
      </c>
      <c r="F34" s="1">
        <v>-12</v>
      </c>
    </row>
    <row r="35" spans="1:6">
      <c r="A35" s="1"/>
      <c r="B35" s="1" t="s">
        <v>24</v>
      </c>
      <c r="C35" s="1">
        <v>0.115</v>
      </c>
      <c r="D35" s="1">
        <f t="shared" si="1"/>
        <v>-11.5</v>
      </c>
      <c r="E35" s="1">
        <v>-100</v>
      </c>
      <c r="F35" s="1">
        <v>-10</v>
      </c>
    </row>
    <row r="36" spans="1:6">
      <c r="A36" s="1"/>
      <c r="B36" s="1" t="s">
        <v>21</v>
      </c>
      <c r="C36" s="1">
        <v>0.077</v>
      </c>
      <c r="D36" s="1">
        <f t="shared" si="1"/>
        <v>-7.7</v>
      </c>
      <c r="E36" s="1">
        <v>-100</v>
      </c>
      <c r="F36" s="1">
        <v>-6</v>
      </c>
    </row>
    <row r="37" spans="1:6">
      <c r="A37" s="1"/>
      <c r="B37" s="1" t="s">
        <v>23</v>
      </c>
      <c r="C37" s="2">
        <v>0.123</v>
      </c>
      <c r="D37" s="1">
        <f t="shared" si="1"/>
        <v>-12.3</v>
      </c>
      <c r="E37" s="1">
        <v>-100</v>
      </c>
      <c r="F37" s="1">
        <v>-9</v>
      </c>
    </row>
    <row r="38" spans="1:6">
      <c r="A38" s="1"/>
      <c r="B38" s="1" t="s">
        <v>25</v>
      </c>
      <c r="C38" s="1">
        <v>0.123</v>
      </c>
      <c r="D38" s="1">
        <f t="shared" si="1"/>
        <v>-12.3</v>
      </c>
      <c r="E38" s="1">
        <v>-100</v>
      </c>
      <c r="F38" s="1">
        <v>-9</v>
      </c>
    </row>
    <row r="39" spans="1:6">
      <c r="A39" s="1"/>
      <c r="B39" s="1" t="s">
        <v>26</v>
      </c>
      <c r="C39" s="1">
        <v>0.115</v>
      </c>
      <c r="D39" s="1">
        <f t="shared" si="1"/>
        <v>-11.5</v>
      </c>
      <c r="E39" s="1">
        <v>-100</v>
      </c>
      <c r="F39" s="1">
        <v>-9</v>
      </c>
    </row>
    <row r="40" spans="1:6">
      <c r="A40" s="1"/>
      <c r="B40" s="1" t="s">
        <v>27</v>
      </c>
      <c r="C40" s="1">
        <v>0.115</v>
      </c>
      <c r="D40" s="1">
        <f t="shared" si="1"/>
        <v>-11.5</v>
      </c>
      <c r="E40" s="1">
        <v>-100</v>
      </c>
      <c r="F40" s="1">
        <v>-9</v>
      </c>
    </row>
    <row r="41" spans="1:6">
      <c r="A41" s="1"/>
      <c r="B41" s="1" t="s">
        <v>28</v>
      </c>
      <c r="C41" s="1">
        <v>0.104</v>
      </c>
      <c r="D41" s="1">
        <f t="shared" si="1"/>
        <v>-10.4</v>
      </c>
      <c r="E41" s="1">
        <v>-100</v>
      </c>
      <c r="F41" s="1">
        <v>-8</v>
      </c>
    </row>
    <row r="42" spans="1:6">
      <c r="A42" s="1"/>
      <c r="B42" s="1" t="s">
        <v>29</v>
      </c>
      <c r="C42" s="1">
        <v>0.085</v>
      </c>
      <c r="D42" s="1">
        <f t="shared" si="1"/>
        <v>-8.5</v>
      </c>
      <c r="E42" s="1">
        <v>-100</v>
      </c>
      <c r="F42" s="1">
        <v>-6</v>
      </c>
    </row>
    <row r="43" spans="1:6">
      <c r="A43" s="1"/>
      <c r="B43" s="1" t="s">
        <v>30</v>
      </c>
      <c r="C43" s="1">
        <v>0.077</v>
      </c>
      <c r="D43" s="1">
        <f t="shared" si="1"/>
        <v>-7.7</v>
      </c>
      <c r="E43" s="1">
        <v>-100</v>
      </c>
      <c r="F43" s="1">
        <v>-6</v>
      </c>
    </row>
    <row r="44" spans="1:6">
      <c r="A44" s="1"/>
      <c r="B44" s="1" t="s">
        <v>31</v>
      </c>
      <c r="C44" s="1">
        <v>0.077</v>
      </c>
      <c r="D44" s="1">
        <f t="shared" si="1"/>
        <v>-7.7</v>
      </c>
      <c r="E44" s="1">
        <v>-100</v>
      </c>
      <c r="F44" s="1">
        <v>-6</v>
      </c>
    </row>
    <row r="45" spans="1:6">
      <c r="A45" s="1"/>
      <c r="B45" s="1" t="s">
        <v>32</v>
      </c>
      <c r="C45" s="1">
        <v>0.104</v>
      </c>
      <c r="D45" s="1">
        <f t="shared" si="1"/>
        <v>-10.4</v>
      </c>
      <c r="E45" s="1">
        <v>-100</v>
      </c>
      <c r="F45" s="1">
        <v>-10</v>
      </c>
    </row>
    <row r="46" spans="1:6">
      <c r="A46" s="1"/>
      <c r="B46" s="1" t="s">
        <v>36</v>
      </c>
      <c r="C46" s="1"/>
      <c r="D46" s="1"/>
      <c r="E46" s="1">
        <v>-5</v>
      </c>
      <c r="F46" s="1">
        <v>-5</v>
      </c>
    </row>
    <row r="47" spans="1:6">
      <c r="A47" s="1" t="s">
        <v>33</v>
      </c>
      <c r="B47" s="1"/>
      <c r="C47" s="1">
        <f>SUM(C34:C46)</f>
        <v>1.238</v>
      </c>
      <c r="D47" s="1">
        <f>SUM(D34:D46)</f>
        <v>-123.8</v>
      </c>
      <c r="E47" s="1">
        <v>-105</v>
      </c>
      <c r="F47" s="1">
        <f>SUM(F34:F46)</f>
        <v>-105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</vt:lpstr>
      <vt:lpstr>分解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马军</cp:lastModifiedBy>
  <dcterms:created xsi:type="dcterms:W3CDTF">2015-06-05T18:19:00Z</dcterms:created>
  <dcterms:modified xsi:type="dcterms:W3CDTF">2026-07-20T02:48:04Z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0759458CF88C420D9EE7988FA4DCBE74_12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